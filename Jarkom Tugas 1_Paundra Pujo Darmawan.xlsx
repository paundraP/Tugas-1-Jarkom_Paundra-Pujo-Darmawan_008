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4"/>
    <sheet state="visible" name="Screenshoot" sheetId="2" r:id="rId5"/>
  </sheets>
  <definedNames/>
  <calcPr/>
</workbook>
</file>

<file path=xl/sharedStrings.xml><?xml version="1.0" encoding="utf-8"?>
<sst xmlns="http://schemas.openxmlformats.org/spreadsheetml/2006/main" count="22" uniqueCount="22">
  <si>
    <t>NRP Mod</t>
  </si>
  <si>
    <t>Base</t>
  </si>
  <si>
    <t>Subnet</t>
  </si>
  <si>
    <t>Host</t>
  </si>
  <si>
    <t>Prefix</t>
  </si>
  <si>
    <t>Mask</t>
  </si>
  <si>
    <t>BlockSize</t>
  </si>
  <si>
    <t>Network</t>
  </si>
  <si>
    <t>FirstUsable</t>
  </si>
  <si>
    <t>LastUsable</t>
  </si>
  <si>
    <t>Broadcast</t>
  </si>
  <si>
    <t>NextNetwork</t>
  </si>
  <si>
    <t>Gateway</t>
  </si>
  <si>
    <t>NetworkINT</t>
  </si>
  <si>
    <t>Sekretariat</t>
  </si>
  <si>
    <t>Kurikulum</t>
  </si>
  <si>
    <t>Guru &amp; Tendik</t>
  </si>
  <si>
    <t>Sarpras</t>
  </si>
  <si>
    <t>Pengawas Sekolah (Branch)</t>
  </si>
  <si>
    <t>Pengawas Sekolah (Cabang)</t>
  </si>
  <si>
    <t>Server &amp; Admin</t>
  </si>
  <si>
    <t>Link P2P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</si>
</sst>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lcul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3</xdr:row>
      <xdr:rowOff>161925</xdr:rowOff>
    </xdr:from>
    <xdr:ext cx="8296275" cy="3619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4:L12" displayName="Table1" name="Table1" id="1">
  <tableColumns count="12">
    <tableColumn name="Subnet" id="1"/>
    <tableColumn name="Host" id="2"/>
    <tableColumn name="Prefix" id="3"/>
    <tableColumn name="Mask" id="4"/>
    <tableColumn name="BlockSize" id="5"/>
    <tableColumn name="Network" id="6"/>
    <tableColumn name="FirstUsable" id="7"/>
    <tableColumn name="LastUsable" id="8"/>
    <tableColumn name="Broadcast" id="9"/>
    <tableColumn name="NextNetwork" id="10"/>
    <tableColumn name="Gateway" id="11"/>
    <tableColumn name="NetworkINT" id="12"/>
  </tableColumns>
  <tableStyleInfo name="Calcul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3" max="3" width="13.0"/>
    <col customWidth="1" min="4" max="4" width="14.75"/>
    <col customWidth="1" min="5" max="5" width="16.13"/>
    <col customWidth="1" min="7" max="8" width="13.88"/>
    <col customWidth="1" min="9" max="9" width="13.0"/>
    <col customWidth="1" min="10" max="10" width="15.0"/>
    <col customWidth="1" min="12" max="12" width="17.5"/>
  </cols>
  <sheetData>
    <row r="1">
      <c r="F1" s="1" t="s">
        <v>0</v>
      </c>
      <c r="G1" s="2">
        <f>MOD(5027241008, 256)</f>
        <v>48</v>
      </c>
    </row>
    <row r="2">
      <c r="F2" s="1" t="s">
        <v>1</v>
      </c>
      <c r="G2" s="1" t="str">
        <f>"10." &amp; G1 &amp; ".0.0"</f>
        <v>10.48.0.0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3"/>
    </row>
    <row r="4" ht="22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 t="s">
        <v>12</v>
      </c>
      <c r="L4" s="5" t="s">
        <v>13</v>
      </c>
    </row>
    <row r="5" ht="22.5" customHeight="1">
      <c r="A5" s="7" t="s">
        <v>14</v>
      </c>
      <c r="B5" s="8">
        <v>380.0</v>
      </c>
      <c r="C5" s="8">
        <f t="shared" ref="C5:C12" si="1">32-CEILING(LOG(B5+2,2),1)</f>
        <v>23</v>
      </c>
      <c r="D5" s="7" t="str">
        <f t="shared" ref="D5:D12" si="2">TEXTJOIN(".",, IF(QUOTIENT(C5,8)&gt;=1,255, IF(QUOTIENT(C5,8)=0, CHOOSE(MOD(C5,8)+1,0,128,192,224,240,248,252,254,255),0)), IF(QUOTIENT(C5,8)&gt;=2,255, IF(QUOTIENT(C5,8)=1, CHOOSE(MOD(C5,8)+1,0,128,192,224,240,248,252,254,255),0)), IF(QUOTIENT(C5,8)&gt;=3,255, IF(QUOTIENT(C5,8)=2, CHOOSE(MOD(C5,8)+1,0,128,192,224,240,248,252,254,255),0)), IF(QUOTIENT(C5,8)&gt;=4,255, IF(QUOTIENT(C5,8)=3, CHOOSE(MOD(C5,8)+1,0,128,192,224,240,248,252,254,255),0)))</f>
        <v>255.255.254.0</v>
      </c>
      <c r="E5" s="8">
        <f t="shared" ref="E5:E12" si="3">POWER(2,32-C5)</f>
        <v>512</v>
      </c>
      <c r="F5" s="7" t="str">
        <f>G2</f>
        <v>10.48.0.0</v>
      </c>
      <c r="G5" s="7" t="str">
        <f t="shared" ref="G5:G12" si="4">TEXTJOIN(".",, QUOTIENT(L5+1,256^3), QUOTIENT(MOD(L5+1,256^3),256^2), QUOTIENT(MOD(L5+1,256^2),256), MOD(L5+1,256))</f>
        <v>10.48.0.1</v>
      </c>
      <c r="H5" s="7" t="str">
        <f t="shared" ref="H5:H12" si="5">TEXTJOIN(".",, QUOTIENT(L5+E5-2,256^3), QUOTIENT(MOD(L5+E5-2,256^3),256^2), QUOTIENT(MOD(L5+E5-2,256^2),256), MOD(L5+E5-2,256))</f>
        <v>10.48.1.254</v>
      </c>
      <c r="I5" s="7" t="str">
        <f t="shared" ref="I5:I12" si="6">TEXTJOIN(".",, QUOTIENT(L5+E5-1,256^3), QUOTIENT(MOD(L5+E5-1,256^3),256^2), QUOTIENT(MOD(L5+E5-1,256^2),256), MOD(L5+E5-1,256))</f>
        <v>10.48.1.255</v>
      </c>
      <c r="J5" s="7" t="str">
        <f t="shared" ref="J5:J12" si="7">TEXTJOIN(".",, QUOTIENT(L5+E5,256^3), QUOTIENT(MOD(L5+E5,256^3),256^2), QUOTIENT(MOD(L5+E5,256^2),256), MOD(L5+E5,256))</f>
        <v>10.48.2.0</v>
      </c>
      <c r="K5" s="9" t="str">
        <f t="shared" ref="K5:K12" si="8">G5</f>
        <v>10.48.0.1</v>
      </c>
      <c r="L5" s="8">
        <f>IFERROR(__xludf.DUMMYFUNCTION("SUMPRODUCT(SPLIT(F5,""."")*{256^3,256^2,256,1})"),1.70917888E8)</f>
        <v>170917888</v>
      </c>
    </row>
    <row r="6" ht="22.5" customHeight="1">
      <c r="A6" s="7" t="s">
        <v>15</v>
      </c>
      <c r="B6" s="8">
        <v>220.0</v>
      </c>
      <c r="C6" s="8">
        <f t="shared" si="1"/>
        <v>24</v>
      </c>
      <c r="D6" s="7" t="str">
        <f t="shared" si="2"/>
        <v>255.255.255.0</v>
      </c>
      <c r="E6" s="8">
        <f t="shared" si="3"/>
        <v>256</v>
      </c>
      <c r="F6" s="7" t="str">
        <f t="shared" ref="F6:F12" si="9">J5</f>
        <v>10.48.2.0</v>
      </c>
      <c r="G6" s="7" t="str">
        <f t="shared" si="4"/>
        <v>10.48.2.1</v>
      </c>
      <c r="H6" s="7" t="str">
        <f t="shared" si="5"/>
        <v>10.48.2.254</v>
      </c>
      <c r="I6" s="7" t="str">
        <f t="shared" si="6"/>
        <v>10.48.2.255</v>
      </c>
      <c r="J6" s="7" t="str">
        <f t="shared" si="7"/>
        <v>10.48.3.0</v>
      </c>
      <c r="K6" s="9" t="str">
        <f t="shared" si="8"/>
        <v>10.48.2.1</v>
      </c>
      <c r="L6" s="8">
        <f>IFERROR(__xludf.DUMMYFUNCTION("SUMPRODUCT(SPLIT(F6,""."")*{256^3,256^2,256,1})"),1.709184E8)</f>
        <v>170918400</v>
      </c>
    </row>
    <row r="7" ht="22.5" customHeight="1">
      <c r="A7" s="7" t="s">
        <v>16</v>
      </c>
      <c r="B7" s="8">
        <v>95.0</v>
      </c>
      <c r="C7" s="8">
        <f t="shared" si="1"/>
        <v>25</v>
      </c>
      <c r="D7" s="7" t="str">
        <f t="shared" si="2"/>
        <v>255.255.255.128</v>
      </c>
      <c r="E7" s="8">
        <f t="shared" si="3"/>
        <v>128</v>
      </c>
      <c r="F7" s="7" t="str">
        <f t="shared" si="9"/>
        <v>10.48.3.0</v>
      </c>
      <c r="G7" s="7" t="str">
        <f t="shared" si="4"/>
        <v>10.48.3.1</v>
      </c>
      <c r="H7" s="7" t="str">
        <f t="shared" si="5"/>
        <v>10.48.3.126</v>
      </c>
      <c r="I7" s="7" t="str">
        <f t="shared" si="6"/>
        <v>10.48.3.127</v>
      </c>
      <c r="J7" s="7" t="str">
        <f t="shared" si="7"/>
        <v>10.48.3.128</v>
      </c>
      <c r="K7" s="9" t="str">
        <f t="shared" si="8"/>
        <v>10.48.3.1</v>
      </c>
      <c r="L7" s="8">
        <f>IFERROR(__xludf.DUMMYFUNCTION("SUMPRODUCT(SPLIT(F7,""."")*{256^3,256^2,256,1})"),1.70918656E8)</f>
        <v>170918656</v>
      </c>
    </row>
    <row r="8" ht="22.5" customHeight="1">
      <c r="A8" s="7" t="s">
        <v>17</v>
      </c>
      <c r="B8" s="8">
        <v>45.0</v>
      </c>
      <c r="C8" s="8">
        <f t="shared" si="1"/>
        <v>26</v>
      </c>
      <c r="D8" s="7" t="str">
        <f t="shared" si="2"/>
        <v>255.255.255.192</v>
      </c>
      <c r="E8" s="8">
        <f t="shared" si="3"/>
        <v>64</v>
      </c>
      <c r="F8" s="7" t="str">
        <f t="shared" si="9"/>
        <v>10.48.3.128</v>
      </c>
      <c r="G8" s="7" t="str">
        <f t="shared" si="4"/>
        <v>10.48.3.129</v>
      </c>
      <c r="H8" s="7" t="str">
        <f t="shared" si="5"/>
        <v>10.48.3.190</v>
      </c>
      <c r="I8" s="7" t="str">
        <f t="shared" si="6"/>
        <v>10.48.3.191</v>
      </c>
      <c r="J8" s="7" t="str">
        <f t="shared" si="7"/>
        <v>10.48.3.192</v>
      </c>
      <c r="K8" s="9" t="str">
        <f t="shared" si="8"/>
        <v>10.48.3.129</v>
      </c>
      <c r="L8" s="8">
        <f>IFERROR(__xludf.DUMMYFUNCTION("SUMPRODUCT(SPLIT(F8,""."")*{256^3,256^2,256,1})"),1.70918784E8)</f>
        <v>170918784</v>
      </c>
    </row>
    <row r="9" ht="22.5" customHeight="1">
      <c r="A9" s="7" t="s">
        <v>18</v>
      </c>
      <c r="B9" s="8">
        <v>18.0</v>
      </c>
      <c r="C9" s="8">
        <f t="shared" si="1"/>
        <v>27</v>
      </c>
      <c r="D9" s="7" t="str">
        <f t="shared" si="2"/>
        <v>255.255.255.224</v>
      </c>
      <c r="E9" s="8">
        <f t="shared" si="3"/>
        <v>32</v>
      </c>
      <c r="F9" s="7" t="str">
        <f t="shared" si="9"/>
        <v>10.48.3.192</v>
      </c>
      <c r="G9" s="7" t="str">
        <f t="shared" si="4"/>
        <v>10.48.3.193</v>
      </c>
      <c r="H9" s="7" t="str">
        <f t="shared" si="5"/>
        <v>10.48.3.222</v>
      </c>
      <c r="I9" s="7" t="str">
        <f t="shared" si="6"/>
        <v>10.48.3.223</v>
      </c>
      <c r="J9" s="7" t="str">
        <f t="shared" si="7"/>
        <v>10.48.3.224</v>
      </c>
      <c r="K9" s="9" t="str">
        <f t="shared" si="8"/>
        <v>10.48.3.193</v>
      </c>
      <c r="L9" s="8">
        <f>IFERROR(__xludf.DUMMYFUNCTION("SUMPRODUCT(SPLIT(F9,""."")*{256^3,256^2,256,1})"),1.70918848E8)</f>
        <v>170918848</v>
      </c>
    </row>
    <row r="10" ht="22.5" customHeight="1">
      <c r="A10" s="7" t="s">
        <v>19</v>
      </c>
      <c r="B10" s="8">
        <v>18.0</v>
      </c>
      <c r="C10" s="8">
        <f t="shared" si="1"/>
        <v>27</v>
      </c>
      <c r="D10" s="7" t="str">
        <f t="shared" si="2"/>
        <v>255.255.255.224</v>
      </c>
      <c r="E10" s="8">
        <f t="shared" si="3"/>
        <v>32</v>
      </c>
      <c r="F10" s="7" t="str">
        <f t="shared" si="9"/>
        <v>10.48.3.224</v>
      </c>
      <c r="G10" s="7" t="str">
        <f t="shared" si="4"/>
        <v>10.48.3.225</v>
      </c>
      <c r="H10" s="7" t="str">
        <f t="shared" si="5"/>
        <v>10.48.3.254</v>
      </c>
      <c r="I10" s="7" t="str">
        <f t="shared" si="6"/>
        <v>10.48.3.255</v>
      </c>
      <c r="J10" s="7" t="str">
        <f t="shared" si="7"/>
        <v>10.48.4.0</v>
      </c>
      <c r="K10" s="9" t="str">
        <f t="shared" si="8"/>
        <v>10.48.3.225</v>
      </c>
      <c r="L10" s="8">
        <f>IFERROR(__xludf.DUMMYFUNCTION("SUMPRODUCT(SPLIT(F10,""."")*{256^3,256^2,256,1})"),1.7091888E8)</f>
        <v>170918880</v>
      </c>
    </row>
    <row r="11" ht="22.5" customHeight="1">
      <c r="A11" s="7" t="s">
        <v>20</v>
      </c>
      <c r="B11" s="8">
        <v>6.0</v>
      </c>
      <c r="C11" s="8">
        <f t="shared" si="1"/>
        <v>29</v>
      </c>
      <c r="D11" s="7" t="str">
        <f t="shared" si="2"/>
        <v>255.255.255.248</v>
      </c>
      <c r="E11" s="8">
        <f t="shared" si="3"/>
        <v>8</v>
      </c>
      <c r="F11" s="7" t="str">
        <f t="shared" si="9"/>
        <v>10.48.4.0</v>
      </c>
      <c r="G11" s="7" t="str">
        <f t="shared" si="4"/>
        <v>10.48.4.1</v>
      </c>
      <c r="H11" s="7" t="str">
        <f t="shared" si="5"/>
        <v>10.48.4.6</v>
      </c>
      <c r="I11" s="7" t="str">
        <f t="shared" si="6"/>
        <v>10.48.4.7</v>
      </c>
      <c r="J11" s="7" t="str">
        <f t="shared" si="7"/>
        <v>10.48.4.8</v>
      </c>
      <c r="K11" s="9" t="str">
        <f t="shared" si="8"/>
        <v>10.48.4.1</v>
      </c>
      <c r="L11" s="8">
        <f>IFERROR(__xludf.DUMMYFUNCTION("SUMPRODUCT(SPLIT(F11,""."")*{256^3,256^2,256,1})"),1.70918912E8)</f>
        <v>170918912</v>
      </c>
    </row>
    <row r="12" ht="22.5" customHeight="1">
      <c r="A12" s="7" t="s">
        <v>21</v>
      </c>
      <c r="B12" s="8">
        <v>2.0</v>
      </c>
      <c r="C12" s="8">
        <f t="shared" si="1"/>
        <v>30</v>
      </c>
      <c r="D12" s="7" t="str">
        <f t="shared" si="2"/>
        <v>255.255.255.252</v>
      </c>
      <c r="E12" s="8">
        <f t="shared" si="3"/>
        <v>4</v>
      </c>
      <c r="F12" s="7" t="str">
        <f t="shared" si="9"/>
        <v>10.48.4.8</v>
      </c>
      <c r="G12" s="7" t="str">
        <f t="shared" si="4"/>
        <v>10.48.4.9</v>
      </c>
      <c r="H12" s="7" t="str">
        <f t="shared" si="5"/>
        <v>10.48.4.10</v>
      </c>
      <c r="I12" s="7" t="str">
        <f t="shared" si="6"/>
        <v>10.48.4.11</v>
      </c>
      <c r="J12" s="7" t="str">
        <f t="shared" si="7"/>
        <v>10.48.4.12</v>
      </c>
      <c r="K12" s="9" t="str">
        <f t="shared" si="8"/>
        <v>10.48.4.9</v>
      </c>
      <c r="L12" s="8">
        <f>IFERROR(__xludf.DUMMYFUNCTION("SUMPRODUCT(SPLIT(F12,""."")*{256^3,256^2,256,1})"),1.7091892E8)</f>
        <v>170918920</v>
      </c>
    </row>
  </sheetData>
  <dataValidations>
    <dataValidation type="custom" allowBlank="1" showDropDown="1" sqref="B5:C12 E5:E12 L5:L12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